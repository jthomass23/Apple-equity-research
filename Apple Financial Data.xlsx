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OneDrive\Desktop\econ stuff\projects\"/>
    </mc:Choice>
  </mc:AlternateContent>
  <xr:revisionPtr revIDLastSave="0" documentId="8_{4D855503-5299-42C0-A265-F1B33C30417E}" xr6:coauthVersionLast="47" xr6:coauthVersionMax="47" xr10:uidLastSave="{00000000-0000-0000-0000-000000000000}"/>
  <bookViews>
    <workbookView xWindow="28680" yWindow="-120" windowWidth="29040" windowHeight="15720" xr2:uid="{34120D0A-75BD-450B-B002-70C221F8212E}"/>
  </bookViews>
  <sheets>
    <sheet name="Apple" sheetId="1" r:id="rId1"/>
    <sheet name="Comparable compan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4" i="2" l="1"/>
  <c r="B23" i="2"/>
  <c r="B22" i="2"/>
  <c r="D18" i="2"/>
  <c r="C20" i="2"/>
  <c r="B18" i="2"/>
  <c r="B19" i="2" s="1"/>
  <c r="B20" i="2"/>
  <c r="C18" i="2"/>
  <c r="D20" i="2"/>
  <c r="D19" i="2" l="1"/>
  <c r="C19" i="2"/>
</calcChain>
</file>

<file path=xl/sharedStrings.xml><?xml version="1.0" encoding="utf-8"?>
<sst xmlns="http://schemas.openxmlformats.org/spreadsheetml/2006/main" count="51" uniqueCount="34">
  <si>
    <t>Metric</t>
  </si>
  <si>
    <t>FY2023</t>
  </si>
  <si>
    <t>FY2024</t>
  </si>
  <si>
    <t>FY2025</t>
  </si>
  <si>
    <t>Revenue</t>
  </si>
  <si>
    <t>EBITDA</t>
  </si>
  <si>
    <t>Net Income</t>
  </si>
  <si>
    <t>FY2022</t>
  </si>
  <si>
    <t>Enterprise Value</t>
  </si>
  <si>
    <t>EV/EBITDA</t>
  </si>
  <si>
    <t>Historical financials</t>
  </si>
  <si>
    <t>Current share price</t>
  </si>
  <si>
    <t>P/E</t>
  </si>
  <si>
    <r>
      <t>Source:</t>
    </r>
    <r>
      <rPr>
        <sz val="11"/>
        <color theme="1"/>
        <rFont val="Aptos Narrow"/>
        <family val="2"/>
        <scheme val="minor"/>
      </rPr>
      <t xml:space="preserve"> Yahoo Finance</t>
    </r>
  </si>
  <si>
    <r>
      <t>Currency:</t>
    </r>
    <r>
      <rPr>
        <sz val="11"/>
        <color theme="1"/>
        <rFont val="Aptos Narrow"/>
        <family val="2"/>
        <scheme val="minor"/>
      </rPr>
      <t xml:space="preserve"> USD</t>
    </r>
  </si>
  <si>
    <r>
      <t>Units:</t>
    </r>
    <r>
      <rPr>
        <sz val="11"/>
        <color theme="1"/>
        <rFont val="Aptos Narrow"/>
        <family val="2"/>
        <scheme val="minor"/>
      </rPr>
      <t xml:space="preserve"> Thousands</t>
    </r>
  </si>
  <si>
    <t>Cash &amp; Equivalents</t>
  </si>
  <si>
    <t>Total Debt</t>
  </si>
  <si>
    <t xml:space="preserve">Share price </t>
  </si>
  <si>
    <t>Market Cap</t>
  </si>
  <si>
    <t xml:space="preserve">Current share price </t>
  </si>
  <si>
    <t>Latest EBITDA</t>
  </si>
  <si>
    <t>Latest Net Income</t>
  </si>
  <si>
    <t>At close: 7 August at 16:00:01 GMT-4</t>
  </si>
  <si>
    <t>Apple Inc. (AAPL)</t>
  </si>
  <si>
    <t>At close: 7 August at 16:00:00 GMT-4</t>
  </si>
  <si>
    <t>Alphabet Inc. (GOOG)</t>
  </si>
  <si>
    <t>Microsoft Corporation (MSFT)</t>
  </si>
  <si>
    <t>Apple</t>
  </si>
  <si>
    <t>Microsoft</t>
  </si>
  <si>
    <t>Alphabet</t>
  </si>
  <si>
    <t>Peer Median of P/E</t>
  </si>
  <si>
    <t>Implied Upside</t>
  </si>
  <si>
    <t>Implied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</si>
</sst>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left" vertical="center" wrapText="1"/>
    </xf>
    <xf numFmtId="3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164" fontId="0" fillId="0" borderId="0" xfId="0" applyNumberForma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3" fontId="4" fillId="0" borderId="0" xfId="0" applyNumberFormat="1" applyFont="1" applyAlignment="1">
      <alignment horizontal="left" vertical="center" wrapText="1"/>
    </xf>
    <xf numFmtId="3" fontId="4" fillId="0" borderId="0" xfId="0" applyNumberFormat="1" applyFont="1" applyAlignment="1">
      <alignment horizontal="left" vertical="center"/>
    </xf>
    <xf numFmtId="10" fontId="0" fillId="0" borderId="0" xfId="0" applyNumberFormat="1"/>
    <xf numFmtId="2" fontId="0" fillId="0" borderId="0" xfId="0" applyNumberFormat="1" applyAlignment="1">
      <alignment horizontal="left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(FY2022 - FY2025)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Apple!$B$4:$E$4</c:f>
              <c:strCache>
                <c:ptCount val="4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</c:strCache>
            </c:strRef>
          </c:cat>
          <c:val>
            <c:numRef>
              <c:f>Apple!$B$5:$E$5</c:f>
              <c:numCache>
                <c:formatCode>#,##0</c:formatCode>
                <c:ptCount val="4"/>
                <c:pt idx="0">
                  <c:v>394328000</c:v>
                </c:pt>
                <c:pt idx="1">
                  <c:v>383285000</c:v>
                </c:pt>
                <c:pt idx="2">
                  <c:v>391035000</c:v>
                </c:pt>
                <c:pt idx="3">
                  <c:v>416161000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B-4B56-BC53-18740BEC2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394799"/>
        <c:axId val="164146831"/>
      </c:lineChart>
      <c:catAx>
        <c:axId val="3039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46831"/>
        <c:crosses val="autoZero"/>
        <c:auto val="1"/>
        <c:lblAlgn val="ctr"/>
        <c:lblOffset val="100"/>
        <c:noMultiLvlLbl val="0"/>
      </c:catAx>
      <c:valAx>
        <c:axId val="16414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9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Net</a:t>
            </a:r>
            <a:r>
              <a:rPr lang="en-GB" baseline="0"/>
              <a:t> income (FY2022 - 2025)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Apple!$B$4:$E$4</c:f>
              <c:strCache>
                <c:ptCount val="4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</c:strCache>
            </c:strRef>
          </c:cat>
          <c:val>
            <c:numRef>
              <c:f>Apple!$B$7:$E$7</c:f>
              <c:numCache>
                <c:formatCode>#,##0</c:formatCode>
                <c:ptCount val="4"/>
                <c:pt idx="0">
                  <c:v>99803000</c:v>
                </c:pt>
                <c:pt idx="1">
                  <c:v>96995000</c:v>
                </c:pt>
                <c:pt idx="2">
                  <c:v>93736000</c:v>
                </c:pt>
                <c:pt idx="3">
                  <c:v>112010000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B7-430B-9220-2321662C4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4027967"/>
        <c:axId val="164226991"/>
      </c:lineChart>
      <c:catAx>
        <c:axId val="58402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26991"/>
        <c:crosses val="autoZero"/>
        <c:auto val="1"/>
        <c:lblAlgn val="ctr"/>
        <c:lblOffset val="100"/>
        <c:noMultiLvlLbl val="0"/>
      </c:catAx>
      <c:valAx>
        <c:axId val="16422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02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</xdr:colOff>
      <xdr:row>8</xdr:row>
      <xdr:rowOff>177165</xdr:rowOff>
    </xdr:from>
    <xdr:to>
      <xdr:col>4</xdr:col>
      <xdr:colOff>725805</xdr:colOff>
      <xdr:row>21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AAFD24-F01D-87F6-1B40-01C241D9B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53340</xdr:colOff>
      <xdr:row>8</xdr:row>
      <xdr:rowOff>177165</xdr:rowOff>
    </xdr:from>
    <xdr:to>
      <xdr:col>10</xdr:col>
      <xdr:colOff>472440</xdr:colOff>
      <xdr:row>21</xdr:row>
      <xdr:rowOff>177165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33E7E4-2D6D-DCD6-19CB-B3994C5035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DAD5C-7C16-4467-8762-3198399B79CC}">
  <dimension ref="A1:F12"/>
  <sheetViews>
    <sheetView tabSelected="1" workbookViewId="0">
      <selection activeCell="P11" sqref="P11"/>
    </sheetView>
  </sheetViews>
  <sheetFormatPr defaultRowHeight="14.4" x14ac:dyDescent="0.3"/>
  <cols>
    <col min="1" max="1" width="18.109375" customWidth="1"/>
    <col min="2" max="2" width="12.5546875" customWidth="1"/>
    <col min="3" max="4" width="11" customWidth="1"/>
    <col min="5" max="5" width="11.77734375" bestFit="1" customWidth="1"/>
    <col min="6" max="6" width="19.5546875" bestFit="1" customWidth="1"/>
  </cols>
  <sheetData>
    <row r="1" spans="1:6" x14ac:dyDescent="0.3">
      <c r="A1" s="5" t="s">
        <v>24</v>
      </c>
      <c r="B1" s="5"/>
      <c r="C1" s="5"/>
      <c r="D1" s="5"/>
      <c r="E1" s="5"/>
      <c r="F1" t="s">
        <v>13</v>
      </c>
    </row>
    <row r="2" spans="1:6" x14ac:dyDescent="0.3">
      <c r="A2" t="s">
        <v>11</v>
      </c>
      <c r="B2" s="8">
        <v>313.33</v>
      </c>
      <c r="C2" t="s">
        <v>23</v>
      </c>
      <c r="F2" t="s">
        <v>14</v>
      </c>
    </row>
    <row r="3" spans="1:6" x14ac:dyDescent="0.3">
      <c r="F3" t="s">
        <v>15</v>
      </c>
    </row>
    <row r="4" spans="1:6" x14ac:dyDescent="0.3">
      <c r="A4" s="7" t="s">
        <v>10</v>
      </c>
      <c r="B4" s="5" t="s">
        <v>7</v>
      </c>
      <c r="C4" s="5" t="s">
        <v>1</v>
      </c>
      <c r="D4" s="5" t="s">
        <v>2</v>
      </c>
      <c r="E4" s="5" t="s">
        <v>3</v>
      </c>
    </row>
    <row r="5" spans="1:6" x14ac:dyDescent="0.3">
      <c r="A5" s="1" t="s">
        <v>4</v>
      </c>
      <c r="B5" s="3">
        <v>394328000</v>
      </c>
      <c r="C5" s="3">
        <v>383285000</v>
      </c>
      <c r="D5" s="3">
        <v>391035000</v>
      </c>
      <c r="E5" s="3">
        <v>416161000</v>
      </c>
    </row>
    <row r="6" spans="1:6" x14ac:dyDescent="0.3">
      <c r="A6" s="1" t="s">
        <v>5</v>
      </c>
      <c r="B6" s="3">
        <v>130541000</v>
      </c>
      <c r="C6" s="3">
        <v>125820000</v>
      </c>
      <c r="D6" s="4">
        <v>134661000</v>
      </c>
      <c r="E6" s="3">
        <v>144748000</v>
      </c>
    </row>
    <row r="7" spans="1:6" x14ac:dyDescent="0.3">
      <c r="A7" s="1" t="s">
        <v>6</v>
      </c>
      <c r="B7" s="4">
        <v>99803000</v>
      </c>
      <c r="C7" s="4">
        <v>96995000</v>
      </c>
      <c r="D7" s="3">
        <v>93736000</v>
      </c>
      <c r="E7" s="3">
        <v>112010000</v>
      </c>
    </row>
    <row r="12" spans="1:6" x14ac:dyDescent="0.3">
      <c r="C12" s="4"/>
      <c r="D12" s="4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A5B0C-F8A0-4536-91F3-2C17897F2F82}">
  <dimension ref="A1:K24"/>
  <sheetViews>
    <sheetView workbookViewId="0">
      <selection activeCell="F21" sqref="F21"/>
    </sheetView>
  </sheetViews>
  <sheetFormatPr defaultRowHeight="14.4" x14ac:dyDescent="0.3"/>
  <cols>
    <col min="1" max="1" width="27.88671875" customWidth="1"/>
    <col min="2" max="2" width="12.6640625" bestFit="1" customWidth="1"/>
    <col min="3" max="3" width="12.44140625" customWidth="1"/>
    <col min="4" max="4" width="12.6640625" bestFit="1" customWidth="1"/>
    <col min="5" max="5" width="11.109375" bestFit="1" customWidth="1"/>
    <col min="6" max="6" width="12.77734375" customWidth="1"/>
    <col min="7" max="7" width="22.21875" customWidth="1"/>
    <col min="8" max="11" width="11.21875" customWidth="1"/>
  </cols>
  <sheetData>
    <row r="1" spans="1:11" ht="15.6" x14ac:dyDescent="0.3">
      <c r="A1" s="10" t="s">
        <v>27</v>
      </c>
      <c r="G1" s="9" t="s">
        <v>26</v>
      </c>
    </row>
    <row r="2" spans="1:11" x14ac:dyDescent="0.3">
      <c r="A2" t="s">
        <v>18</v>
      </c>
      <c r="B2" s="8">
        <v>499.99</v>
      </c>
      <c r="C2" t="s">
        <v>25</v>
      </c>
      <c r="G2" t="s">
        <v>18</v>
      </c>
      <c r="H2" s="8">
        <v>353.47</v>
      </c>
      <c r="I2" t="s">
        <v>23</v>
      </c>
    </row>
    <row r="4" spans="1:11" ht="15.6" x14ac:dyDescent="0.3">
      <c r="A4" s="9" t="s">
        <v>0</v>
      </c>
      <c r="B4" s="11" t="s">
        <v>1</v>
      </c>
      <c r="C4" s="11" t="s">
        <v>2</v>
      </c>
      <c r="D4" s="11" t="s">
        <v>3</v>
      </c>
      <c r="G4" s="9" t="s">
        <v>0</v>
      </c>
      <c r="H4" s="9" t="s">
        <v>7</v>
      </c>
      <c r="I4" s="9" t="s">
        <v>1</v>
      </c>
      <c r="J4" s="9" t="s">
        <v>2</v>
      </c>
      <c r="K4" s="9" t="s">
        <v>3</v>
      </c>
    </row>
    <row r="5" spans="1:11" x14ac:dyDescent="0.3">
      <c r="A5" s="1" t="s">
        <v>4</v>
      </c>
      <c r="B5" s="3">
        <v>211915000</v>
      </c>
      <c r="C5" s="3">
        <v>245122000</v>
      </c>
      <c r="D5" s="3">
        <v>281724000</v>
      </c>
      <c r="G5" s="6" t="s">
        <v>4</v>
      </c>
      <c r="H5" s="4">
        <v>282836000</v>
      </c>
      <c r="I5" s="4">
        <v>307394000</v>
      </c>
      <c r="J5" s="4">
        <v>350018000</v>
      </c>
      <c r="K5" s="4">
        <v>402836000</v>
      </c>
    </row>
    <row r="6" spans="1:11" x14ac:dyDescent="0.3">
      <c r="A6" s="1" t="s">
        <v>5</v>
      </c>
      <c r="B6" s="3">
        <v>105140000</v>
      </c>
      <c r="C6" s="4">
        <v>131680000</v>
      </c>
      <c r="D6" s="3">
        <v>155445000</v>
      </c>
      <c r="G6" s="6" t="s">
        <v>5</v>
      </c>
      <c r="H6" s="4">
        <v>85160000</v>
      </c>
      <c r="I6" s="4">
        <v>97971000</v>
      </c>
      <c r="J6" s="4">
        <v>135394000</v>
      </c>
      <c r="K6" s="4">
        <v>180698000</v>
      </c>
    </row>
    <row r="7" spans="1:11" x14ac:dyDescent="0.3">
      <c r="A7" s="1" t="s">
        <v>6</v>
      </c>
      <c r="B7" s="4">
        <v>72361000</v>
      </c>
      <c r="C7" s="3">
        <v>88136000</v>
      </c>
      <c r="D7" s="3">
        <v>101832000</v>
      </c>
      <c r="G7" s="6" t="s">
        <v>6</v>
      </c>
      <c r="H7" s="4">
        <v>59972000</v>
      </c>
      <c r="I7" s="4">
        <v>73795000</v>
      </c>
      <c r="J7" s="4">
        <v>100118000</v>
      </c>
      <c r="K7" s="4">
        <v>132170000</v>
      </c>
    </row>
    <row r="10" spans="1:11" ht="15.6" x14ac:dyDescent="0.3">
      <c r="A10" s="9" t="s">
        <v>0</v>
      </c>
      <c r="B10" s="12" t="s">
        <v>28</v>
      </c>
      <c r="C10" s="12" t="s">
        <v>29</v>
      </c>
      <c r="D10" s="12" t="s">
        <v>30</v>
      </c>
    </row>
    <row r="11" spans="1:11" x14ac:dyDescent="0.3">
      <c r="A11" t="s">
        <v>20</v>
      </c>
      <c r="B11" s="14">
        <v>313.33</v>
      </c>
      <c r="C11" s="14">
        <v>499.99</v>
      </c>
      <c r="D11" s="14">
        <v>353.47</v>
      </c>
    </row>
    <row r="12" spans="1:11" x14ac:dyDescent="0.3">
      <c r="A12" s="1" t="s">
        <v>19</v>
      </c>
      <c r="B12" s="15">
        <v>4000000000</v>
      </c>
      <c r="C12" s="15">
        <v>3590000000</v>
      </c>
      <c r="D12" s="16">
        <v>3790000000</v>
      </c>
    </row>
    <row r="13" spans="1:11" x14ac:dyDescent="0.3">
      <c r="A13" s="1" t="s">
        <v>17</v>
      </c>
      <c r="B13" s="16">
        <v>98657000</v>
      </c>
      <c r="C13" s="16">
        <v>60588000</v>
      </c>
      <c r="D13" s="16">
        <v>59291000</v>
      </c>
    </row>
    <row r="14" spans="1:11" x14ac:dyDescent="0.3">
      <c r="A14" s="1" t="s">
        <v>16</v>
      </c>
      <c r="B14" s="16">
        <v>35934000</v>
      </c>
      <c r="C14" s="16">
        <v>30242000</v>
      </c>
      <c r="D14" s="16">
        <v>30708000</v>
      </c>
    </row>
    <row r="15" spans="1:11" x14ac:dyDescent="0.3">
      <c r="A15" s="1" t="s">
        <v>21</v>
      </c>
      <c r="B15" s="15">
        <v>144748000</v>
      </c>
      <c r="C15" s="15">
        <v>155445000</v>
      </c>
      <c r="D15" s="16">
        <v>180698000</v>
      </c>
    </row>
    <row r="16" spans="1:11" x14ac:dyDescent="0.3">
      <c r="A16" t="s">
        <v>22</v>
      </c>
      <c r="B16" s="15">
        <v>112010000</v>
      </c>
      <c r="C16" s="15">
        <v>101832000</v>
      </c>
      <c r="D16" s="16">
        <v>132170000</v>
      </c>
    </row>
    <row r="17" spans="1:4" x14ac:dyDescent="0.3">
      <c r="B17" s="13"/>
      <c r="C17" s="13"/>
      <c r="D17" s="13"/>
    </row>
    <row r="18" spans="1:4" x14ac:dyDescent="0.3">
      <c r="A18" s="1" t="s">
        <v>8</v>
      </c>
      <c r="B18" s="4">
        <f>(B12+B13)-B14</f>
        <v>4062723000</v>
      </c>
      <c r="C18" s="4">
        <f>(C12+C13)-C14</f>
        <v>3620346000</v>
      </c>
      <c r="D18" s="4">
        <f>(D12+D13)-D14</f>
        <v>3818583000</v>
      </c>
    </row>
    <row r="19" spans="1:4" x14ac:dyDescent="0.3">
      <c r="A19" s="2" t="s">
        <v>9</v>
      </c>
      <c r="B19" s="18">
        <f>B18/B15</f>
        <v>28.067558791831321</v>
      </c>
      <c r="C19" s="18">
        <f>C18/C15</f>
        <v>23.290205538936601</v>
      </c>
      <c r="D19" s="18">
        <f>D18/D15</f>
        <v>21.132403236339083</v>
      </c>
    </row>
    <row r="20" spans="1:4" x14ac:dyDescent="0.3">
      <c r="A20" t="s">
        <v>12</v>
      </c>
      <c r="B20" s="18">
        <f>B12/B16</f>
        <v>35.71109722346219</v>
      </c>
      <c r="C20" s="18">
        <f>C12/C16</f>
        <v>35.254144080446224</v>
      </c>
      <c r="D20" s="18">
        <f>D12/D16</f>
        <v>28.675191041840055</v>
      </c>
    </row>
    <row r="22" spans="1:4" x14ac:dyDescent="0.3">
      <c r="A22" t="s">
        <v>31</v>
      </c>
      <c r="B22" s="19">
        <f>MEDIAN(B20,C20,D20)</f>
        <v>35.254144080446224</v>
      </c>
    </row>
    <row r="23" spans="1:4" x14ac:dyDescent="0.3">
      <c r="A23" t="s">
        <v>33</v>
      </c>
      <c r="B23" s="19">
        <f>(B22/B20)*B11</f>
        <v>309.32068246474586</v>
      </c>
    </row>
    <row r="24" spans="1:4" x14ac:dyDescent="0.3">
      <c r="A24" t="s">
        <v>32</v>
      </c>
      <c r="B24" s="17">
        <f>(B11-B23)/B23</f>
        <v>1.2961685921894601E-2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Apple</vt:lpstr>
      <vt:lpstr>Comparable 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 Thomas</dc:creator>
  <cp:lastModifiedBy>Job Thomas</cp:lastModifiedBy>
  <dcterms:created xsi:type="dcterms:W3CDTF">2026-08-05T08:59:45Z</dcterms:created>
  <dcterms:modified xsi:type="dcterms:W3CDTF">2026-09-10T15:06:07Z</dcterms:modified>
</cp:coreProperties>
</file>